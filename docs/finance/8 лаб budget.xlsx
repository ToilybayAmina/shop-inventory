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уроки\4 курс\Самбетбаева\Байбулова лаб\"/>
    </mc:Choice>
  </mc:AlternateContent>
  <bookViews>
    <workbookView xWindow="0" yWindow="0" windowWidth="19200" windowHeight="7810" tabRatio="500" activeTab="2"/>
  </bookViews>
  <sheets>
    <sheet name="Бюджет" sheetId="1" r:id="rId1"/>
    <sheet name="Юнит-экономика" sheetId="2" r:id="rId2"/>
    <sheet name="Орналастыру" sheetId="3" r:id="rId3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" i="3" l="1"/>
  <c r="E3" i="3"/>
  <c r="E2" i="3"/>
  <c r="B6" i="2"/>
  <c r="D9" i="1"/>
  <c r="D8" i="1"/>
  <c r="D7" i="1"/>
  <c r="C6" i="1"/>
  <c r="D5" i="1"/>
  <c r="D4" i="1"/>
  <c r="C3" i="1"/>
  <c r="C10" i="1" s="1"/>
  <c r="B3" i="2" s="1"/>
  <c r="B4" i="2" s="1"/>
  <c r="D2" i="1"/>
  <c r="D10" i="1" s="1"/>
  <c r="B7" i="2" l="1"/>
  <c r="B9" i="2" l="1"/>
  <c r="B8" i="2"/>
</calcChain>
</file>

<file path=xl/sharedStrings.xml><?xml version="1.0" encoding="utf-8"?>
<sst xmlns="http://schemas.openxmlformats.org/spreadsheetml/2006/main" count="54" uniqueCount="52">
  <si>
    <t>№</t>
  </si>
  <si>
    <t>Бап</t>
  </si>
  <si>
    <t>Айына (₸)</t>
  </si>
  <si>
    <t>12 ай (₸)</t>
  </si>
  <si>
    <t>Ескерту</t>
  </si>
  <si>
    <t>VPS (Hetzner CX22)</t>
  </si>
  <si>
    <t>Айына</t>
  </si>
  <si>
    <t>Домен .kz</t>
  </si>
  <si>
    <t>Жылына</t>
  </si>
  <si>
    <t>GitHub Free</t>
  </si>
  <si>
    <t>Тегін</t>
  </si>
  <si>
    <t>Cloudflare Free</t>
  </si>
  <si>
    <t>Оқыту (2 адам)</t>
  </si>
  <si>
    <t>Бір рет</t>
  </si>
  <si>
    <t>Қолдау (5 сағ/ай)</t>
  </si>
  <si>
    <t>Резервтік көшіру</t>
  </si>
  <si>
    <t>VPS-те</t>
  </si>
  <si>
    <t>SSL сертификат</t>
  </si>
  <si>
    <t>Let's Encrypt</t>
  </si>
  <si>
    <t>Барлығы</t>
  </si>
  <si>
    <t>Ескерту:</t>
  </si>
  <si>
    <t>Көк түсті сандар - енгізілетін мәндер (3-ЗЖ TCO моделінен).</t>
  </si>
  <si>
    <t>Қайталанатын шығындар: 12 ай = Айына × 12.</t>
  </si>
  <si>
    <t>Домен (жылына 8 000 ₸) және оқыту (бір рет 50 000 ₸): 12 ай = нақты сома, Айына = 12 ай / 12 (бір ай үлесі).</t>
  </si>
  <si>
    <t>Көрсеткіш</t>
  </si>
  <si>
    <t>Мәні</t>
  </si>
  <si>
    <t>Формула</t>
  </si>
  <si>
    <t>Пайдаланушылар саны</t>
  </si>
  <si>
    <t>Дүкен иесі + кассир + қонақ</t>
  </si>
  <si>
    <t>Айлық бюджет (₸)</t>
  </si>
  <si>
    <t>=Бюджет!C10</t>
  </si>
  <si>
    <t>Бір пайдаланушыға (₸/ай)</t>
  </si>
  <si>
    <t>=B3/B2</t>
  </si>
  <si>
    <t>Жылдық үнемдеу (₸)</t>
  </si>
  <si>
    <t>Енгізілген мән (Benefit)</t>
  </si>
  <si>
    <t>Айлық үнемдеу (₸)</t>
  </si>
  <si>
    <t>=B5/12</t>
  </si>
  <si>
    <t>Таза пайда (₸/ай)</t>
  </si>
  <si>
    <t>=B6-B3</t>
  </si>
  <si>
    <t>ROI (%)</t>
  </si>
  <si>
    <t>=(B7/B3)*100</t>
  </si>
  <si>
    <t>Юнит-экономика (₸/пайдаланушы/ай)</t>
  </si>
  <si>
    <t>=B7/B2</t>
  </si>
  <si>
    <t>Нұсқа</t>
  </si>
  <si>
    <t>Бастапқы шығын (₸)</t>
  </si>
  <si>
    <t>Айлық шығын (₸)</t>
  </si>
  <si>
    <t>Ай саны</t>
  </si>
  <si>
    <t>3 жылдық (₸)</t>
  </si>
  <si>
    <t>Ашық бұлт (Hetzner)</t>
  </si>
  <si>
    <t>Меншікті инфра (Dell T150)</t>
  </si>
  <si>
    <t>Жалға алынған (ps.kz)</t>
  </si>
  <si>
    <t>Меншікті инфра: айлық шығын = электричество 5 000 + интернет 8 000 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</si>
</sst>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&quot; ₸&quot;"/>
    <numFmt numFmtId="165" formatCode="0.0\%"/>
  </numFmts>
  <fonts count="8" x14ac:knownFonts="1">
    <font>
      <sz val="11"/>
      <color theme="1"/>
      <name val="Calibri"/>
      <family val="2"/>
      <charset val="1"/>
    </font>
    <font>
      <b/>
      <sz val="12"/>
      <color rgb="FFFFFFFF"/>
      <name val="Times New Roman"/>
      <charset val="1"/>
    </font>
    <font>
      <sz val="12"/>
      <color rgb="FF000000"/>
      <name val="Times New Roman"/>
      <charset val="1"/>
    </font>
    <font>
      <sz val="12"/>
      <color rgb="FF0000FF"/>
      <name val="Times New Roman"/>
      <charset val="1"/>
    </font>
    <font>
      <b/>
      <sz val="12"/>
      <color rgb="FF000000"/>
      <name val="Times New Roman"/>
      <charset val="1"/>
    </font>
    <font>
      <b/>
      <sz val="12"/>
      <name val="Times New Roman"/>
      <charset val="1"/>
    </font>
    <font>
      <i/>
      <sz val="12"/>
      <name val="Times New Roman"/>
      <charset val="1"/>
    </font>
    <font>
      <sz val="12"/>
      <color rgb="FF008000"/>
      <name val="Times New Roman"/>
      <charset val="1"/>
    </font>
  </fonts>
  <fills count="4">
    <fill>
      <patternFill patternType="none"/>
    </fill>
    <fill>
      <patternFill patternType="gray125"/>
    </fill>
    <fill>
      <patternFill patternType="solid">
        <fgColor rgb="FF159FE0"/>
        <bgColor rgb="FF33CCCC"/>
      </patternFill>
    </fill>
    <fill>
      <patternFill patternType="solid">
        <fgColor rgb="FFF2F9FE"/>
        <bgColor rgb="FFFFFFFF"/>
      </patternFill>
    </fill>
  </fills>
  <borders count="2">
    <border>
      <left/>
      <right/>
      <top/>
      <bottom/>
      <diagonal/>
    </border>
    <border>
      <left style="thin">
        <color rgb="FFAAD1E9"/>
      </left>
      <right style="thin">
        <color rgb="FFAAD1E9"/>
      </right>
      <top style="thin">
        <color rgb="FFAAD1E9"/>
      </top>
      <bottom style="thin">
        <color rgb="FFAAD1E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5" fillId="0" borderId="0" xfId="0" applyFont="1"/>
    <xf numFmtId="0" fontId="6" fillId="0" borderId="0" xfId="0" applyFont="1"/>
    <xf numFmtId="1" fontId="3" fillId="0" borderId="1" xfId="0" applyNumberFormat="1" applyFont="1" applyBorder="1" applyAlignment="1">
      <alignment horizontal="right" vertical="center" wrapText="1"/>
    </xf>
    <xf numFmtId="164" fontId="7" fillId="0" borderId="1" xfId="0" applyNumberFormat="1" applyFont="1" applyBorder="1" applyAlignment="1">
      <alignment horizontal="right" vertical="center" wrapText="1"/>
    </xf>
    <xf numFmtId="165" fontId="2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9F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159FE0"/>
      <rgbColor rgb="FFCCFFFF"/>
      <rgbColor rgb="FFCCFFCC"/>
      <rgbColor rgb="FFFFFF99"/>
      <rgbColor rgb="FFAAD1E9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6" customWidth="1"/>
    <col min="2" max="2" width="28" customWidth="1"/>
    <col min="3" max="4" width="16" customWidth="1"/>
    <col min="5" max="5" width="18" customWidth="1"/>
  </cols>
  <sheetData>
    <row r="1" spans="1:5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5" x14ac:dyDescent="0.35">
      <c r="A2" s="2">
        <v>1</v>
      </c>
      <c r="B2" s="3" t="s">
        <v>5</v>
      </c>
      <c r="C2" s="4">
        <v>2400</v>
      </c>
      <c r="D2" s="5">
        <f>C2*12</f>
        <v>28800</v>
      </c>
      <c r="E2" s="3" t="s">
        <v>6</v>
      </c>
    </row>
    <row r="3" spans="1:5" ht="15.5" x14ac:dyDescent="0.35">
      <c r="A3" s="2">
        <v>2</v>
      </c>
      <c r="B3" s="3" t="s">
        <v>7</v>
      </c>
      <c r="C3" s="5">
        <f>ROUND(D3/12,0)</f>
        <v>667</v>
      </c>
      <c r="D3" s="4">
        <v>8000</v>
      </c>
      <c r="E3" s="3" t="s">
        <v>8</v>
      </c>
    </row>
    <row r="4" spans="1:5" ht="15.5" x14ac:dyDescent="0.35">
      <c r="A4" s="2">
        <v>3</v>
      </c>
      <c r="B4" s="3" t="s">
        <v>9</v>
      </c>
      <c r="C4" s="4">
        <v>0</v>
      </c>
      <c r="D4" s="5">
        <f>C4*12</f>
        <v>0</v>
      </c>
      <c r="E4" s="3" t="s">
        <v>10</v>
      </c>
    </row>
    <row r="5" spans="1:5" ht="15.5" x14ac:dyDescent="0.35">
      <c r="A5" s="2">
        <v>4</v>
      </c>
      <c r="B5" s="3" t="s">
        <v>11</v>
      </c>
      <c r="C5" s="4">
        <v>0</v>
      </c>
      <c r="D5" s="5">
        <f>C5*12</f>
        <v>0</v>
      </c>
      <c r="E5" s="3" t="s">
        <v>10</v>
      </c>
    </row>
    <row r="6" spans="1:5" ht="15.5" x14ac:dyDescent="0.35">
      <c r="A6" s="2">
        <v>5</v>
      </c>
      <c r="B6" s="3" t="s">
        <v>12</v>
      </c>
      <c r="C6" s="5">
        <f>ROUND(D6/12,0)</f>
        <v>4167</v>
      </c>
      <c r="D6" s="4">
        <v>50000</v>
      </c>
      <c r="E6" s="3" t="s">
        <v>13</v>
      </c>
    </row>
    <row r="7" spans="1:5" ht="15.5" x14ac:dyDescent="0.35">
      <c r="A7" s="2">
        <v>6</v>
      </c>
      <c r="B7" s="3" t="s">
        <v>14</v>
      </c>
      <c r="C7" s="4">
        <v>15000</v>
      </c>
      <c r="D7" s="5">
        <f>C7*12</f>
        <v>180000</v>
      </c>
      <c r="E7" s="3" t="s">
        <v>6</v>
      </c>
    </row>
    <row r="8" spans="1:5" ht="15.5" x14ac:dyDescent="0.35">
      <c r="A8" s="2">
        <v>7</v>
      </c>
      <c r="B8" s="3" t="s">
        <v>15</v>
      </c>
      <c r="C8" s="4">
        <v>0</v>
      </c>
      <c r="D8" s="5">
        <f>C8*12</f>
        <v>0</v>
      </c>
      <c r="E8" s="3" t="s">
        <v>16</v>
      </c>
    </row>
    <row r="9" spans="1:5" ht="15.5" x14ac:dyDescent="0.35">
      <c r="A9" s="2">
        <v>8</v>
      </c>
      <c r="B9" s="3" t="s">
        <v>17</v>
      </c>
      <c r="C9" s="4">
        <v>0</v>
      </c>
      <c r="D9" s="5">
        <f>C9*12</f>
        <v>0</v>
      </c>
      <c r="E9" s="3" t="s">
        <v>18</v>
      </c>
    </row>
    <row r="10" spans="1:5" ht="15" x14ac:dyDescent="0.35">
      <c r="A10" s="6"/>
      <c r="B10" s="6" t="s">
        <v>19</v>
      </c>
      <c r="C10" s="7">
        <f>SUM(C2:C9)</f>
        <v>22234</v>
      </c>
      <c r="D10" s="7">
        <f>SUM(D2:D9)</f>
        <v>266800</v>
      </c>
      <c r="E10" s="6"/>
    </row>
    <row r="12" spans="1:5" ht="15.5" x14ac:dyDescent="0.35">
      <c r="B12" s="8" t="s">
        <v>20</v>
      </c>
    </row>
    <row r="13" spans="1:5" ht="15.5" x14ac:dyDescent="0.35">
      <c r="B13" s="9" t="s">
        <v>21</v>
      </c>
    </row>
    <row r="14" spans="1:5" ht="15.5" x14ac:dyDescent="0.35">
      <c r="B14" s="9" t="s">
        <v>22</v>
      </c>
    </row>
    <row r="15" spans="1:5" ht="15.5" x14ac:dyDescent="0.35">
      <c r="B15" s="9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zoomScaleNormal="100" workbookViewId="0"/>
  </sheetViews>
  <sheetFormatPr defaultColWidth="8.6328125" defaultRowHeight="14.5" x14ac:dyDescent="0.35"/>
  <cols>
    <col min="1" max="1" width="38" customWidth="1"/>
    <col min="2" max="2" width="18" customWidth="1"/>
    <col min="3" max="3" width="34" customWidth="1"/>
  </cols>
  <sheetData>
    <row r="1" spans="1:3" ht="15" x14ac:dyDescent="0.35">
      <c r="A1" s="1" t="s">
        <v>24</v>
      </c>
      <c r="B1" s="1" t="s">
        <v>25</v>
      </c>
      <c r="C1" s="1" t="s">
        <v>26</v>
      </c>
    </row>
    <row r="2" spans="1:3" ht="15.5" x14ac:dyDescent="0.35">
      <c r="A2" s="3" t="s">
        <v>27</v>
      </c>
      <c r="B2" s="10">
        <v>3</v>
      </c>
      <c r="C2" s="3" t="s">
        <v>28</v>
      </c>
    </row>
    <row r="3" spans="1:3" ht="15.5" x14ac:dyDescent="0.35">
      <c r="A3" s="3" t="s">
        <v>29</v>
      </c>
      <c r="B3" s="11">
        <f>Бюджет!C10</f>
        <v>22234</v>
      </c>
      <c r="C3" s="3" t="s">
        <v>30</v>
      </c>
    </row>
    <row r="4" spans="1:3" ht="15.5" x14ac:dyDescent="0.35">
      <c r="A4" s="3" t="s">
        <v>31</v>
      </c>
      <c r="B4" s="5">
        <f>B3/B2</f>
        <v>7411.333333333333</v>
      </c>
      <c r="C4" s="3" t="s">
        <v>32</v>
      </c>
    </row>
    <row r="5" spans="1:3" ht="15.5" x14ac:dyDescent="0.35">
      <c r="A5" s="3" t="s">
        <v>33</v>
      </c>
      <c r="B5" s="4">
        <v>960000</v>
      </c>
      <c r="C5" s="3" t="s">
        <v>34</v>
      </c>
    </row>
    <row r="6" spans="1:3" ht="15.5" x14ac:dyDescent="0.35">
      <c r="A6" s="3" t="s">
        <v>35</v>
      </c>
      <c r="B6" s="5">
        <f>B5/12</f>
        <v>80000</v>
      </c>
      <c r="C6" s="3" t="s">
        <v>36</v>
      </c>
    </row>
    <row r="7" spans="1:3" ht="15.5" x14ac:dyDescent="0.35">
      <c r="A7" s="3" t="s">
        <v>37</v>
      </c>
      <c r="B7" s="5">
        <f>B6-B3</f>
        <v>57766</v>
      </c>
      <c r="C7" s="3" t="s">
        <v>38</v>
      </c>
    </row>
    <row r="8" spans="1:3" ht="15.5" x14ac:dyDescent="0.35">
      <c r="A8" s="3" t="s">
        <v>39</v>
      </c>
      <c r="B8" s="12">
        <f>(B7/B3)*100</f>
        <v>259.8093010704327</v>
      </c>
      <c r="C8" s="3" t="s">
        <v>40</v>
      </c>
    </row>
    <row r="9" spans="1:3" ht="15.5" x14ac:dyDescent="0.35">
      <c r="A9" s="3" t="s">
        <v>41</v>
      </c>
      <c r="B9" s="5">
        <f>B7/B2</f>
        <v>19255.333333333332</v>
      </c>
      <c r="C9" s="3" t="s">
        <v>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zoomScaleNormal="100" workbookViewId="0"/>
  </sheetViews>
  <sheetFormatPr defaultColWidth="8.6328125" defaultRowHeight="14.5" x14ac:dyDescent="0.35"/>
  <cols>
    <col min="1" max="1" width="30" customWidth="1"/>
    <col min="2" max="2" width="20" customWidth="1"/>
    <col min="3" max="3" width="18" customWidth="1"/>
    <col min="4" max="4" width="10" customWidth="1"/>
    <col min="5" max="5" width="18" customWidth="1"/>
  </cols>
  <sheetData>
    <row r="1" spans="1:5" ht="30" x14ac:dyDescent="0.35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</row>
    <row r="2" spans="1:5" ht="15.5" x14ac:dyDescent="0.35">
      <c r="A2" s="3" t="s">
        <v>48</v>
      </c>
      <c r="B2" s="4">
        <v>0</v>
      </c>
      <c r="C2" s="4">
        <v>2400</v>
      </c>
      <c r="D2" s="10">
        <v>36</v>
      </c>
      <c r="E2" s="13">
        <f>B2+C2*D2</f>
        <v>86400</v>
      </c>
    </row>
    <row r="3" spans="1:5" ht="15.5" x14ac:dyDescent="0.35">
      <c r="A3" s="3" t="s">
        <v>49</v>
      </c>
      <c r="B3" s="4">
        <v>400000</v>
      </c>
      <c r="C3" s="4">
        <v>13000</v>
      </c>
      <c r="D3" s="10">
        <v>36</v>
      </c>
      <c r="E3" s="13">
        <f>B3+C3*D3</f>
        <v>868000</v>
      </c>
    </row>
    <row r="4" spans="1:5" ht="15.5" x14ac:dyDescent="0.35">
      <c r="A4" s="3" t="s">
        <v>50</v>
      </c>
      <c r="B4" s="4">
        <v>0</v>
      </c>
      <c r="C4" s="4">
        <v>8000</v>
      </c>
      <c r="D4" s="10">
        <v>36</v>
      </c>
      <c r="E4" s="13">
        <f>B4+C4*D4</f>
        <v>288000</v>
      </c>
    </row>
    <row r="6" spans="1:5" ht="15.5" x14ac:dyDescent="0.35">
      <c r="A6" s="9" t="s">
        <v>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Бюджет</vt:lpstr>
      <vt:lpstr>Юнит-экономика</vt:lpstr>
      <vt:lpstr>Орналастыру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Asus</cp:lastModifiedBy>
  <cp:revision>0</cp:revision>
  <dcterms:created xsi:type="dcterms:W3CDTF">2026-10-20T07:00:43Z</dcterms:created>
  <dcterms:modified xsi:type="dcterms:W3CDTF">2026-10-20T07:05:30Z</dcterms:modified>
  <dc:language>en-US</dc:language>
</cp:coreProperties>
</file>