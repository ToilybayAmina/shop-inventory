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уроки\4 курс\Самбетбаева\Байбулова лаб\"/>
    </mc:Choice>
  </mc:AlternateContent>
  <bookViews>
    <workbookView xWindow="0" yWindow="0" windowWidth="19200" windowHeight="8390" tabRatio="500"/>
  </bookViews>
  <sheets>
    <sheet name="RAID-журнал" sheetId="1" r:id="rId1"/>
  </sheets>
  <definedNames>
    <definedName name="_xlnm._FilterDatabase" localSheetId="0" hidden="1">'RAID-журнал'!$A$4:$K$36</definedName>
    <definedName name="_xlnm.Print_Titles" localSheetId="0">'RAID-журнал'!$4:$4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5" i="1"/>
</calcChain>
</file>

<file path=xl/sharedStrings.xml><?xml version="1.0" encoding="utf-8"?>
<sst xmlns="http://schemas.openxmlformats.org/spreadsheetml/2006/main" count="337" uniqueCount="204">
  <si>
    <t>RAID-журнал · Shop-Inventory жобасы</t>
  </si>
  <si>
    <t>Команда: 4 студент · Мерзімі: 15 апта · Backlog: 18 тарихша, 42 SP</t>
  </si>
  <si>
    <t>№</t>
  </si>
  <si>
    <t>Түрі</t>
  </si>
  <si>
    <t>Сипаттама</t>
  </si>
  <si>
    <t>Ықтималдық</t>
  </si>
  <si>
    <t>Ықпал</t>
  </si>
  <si>
    <t>Бағасы</t>
  </si>
  <si>
    <t>Иесі</t>
  </si>
  <si>
    <t>Стратегия</t>
  </si>
  <si>
    <t>Триггер</t>
  </si>
  <si>
    <t>Дең қою жоспары</t>
  </si>
  <si>
    <t>Қайта қарау мерзімі</t>
  </si>
  <si>
    <t>R-01</t>
  </si>
  <si>
    <t>Тәуекел</t>
  </si>
  <si>
    <t>Мерзім 15 аптадан асып кетеді: 18 тарихша (42 SP) уақытқа сыймайды</t>
  </si>
  <si>
    <t>Жоғары</t>
  </si>
  <si>
    <t>PM</t>
  </si>
  <si>
    <t>Азайту: MVP фокус, MoSCoW, 2 апталық спринттер</t>
  </si>
  <si>
    <t>Қатарынан 2 спринтте орындалған SP жоспардың 80%-нан аз</t>
  </si>
  <si>
    <t>Could-тарихшаларды бэклогтан шығару, көлемді 42 SP-тан 32 SP-қа дейін қысқарту</t>
  </si>
  <si>
    <t>Әр апта (дүйсенбі)</t>
  </si>
  <si>
    <t>R-02</t>
  </si>
  <si>
    <t>Команда тәжірибесі аз: студенттер Django-ны білмейді</t>
  </si>
  <si>
    <t>Орташа</t>
  </si>
  <si>
    <t>Азайту: ментор, code review, pair programming</t>
  </si>
  <si>
    <t>2-аптаның соңына дейін 1-ші PR code review-да 3-тен көп ескертумен қайтарылса</t>
  </si>
  <si>
    <t>Ментормен 2 сағаттық оқыту сессиясы, Django бойынша мини-тапсырма</t>
  </si>
  <si>
    <t>2-апта</t>
  </si>
  <si>
    <t>R-03</t>
  </si>
  <si>
    <t>ERD қате жасалған, схема кейін өзгертіледі</t>
  </si>
  <si>
    <t>Backend</t>
  </si>
  <si>
    <t>Азайту: dbdiagram.io, ментормен ревью</t>
  </si>
  <si>
    <t>4-аптаға дейін миграцияларды 2 реттен көп бұзатын өзгеріс қажет болса</t>
  </si>
  <si>
    <t>Схеманы 2 жұмыс күнінде қайта жобалау, миграцияларды қайта құру</t>
  </si>
  <si>
    <t>4-апта</t>
  </si>
  <si>
    <t>R-04</t>
  </si>
  <si>
    <t>Backend пен Frontend арасындағы API келісілмеген</t>
  </si>
  <si>
    <t>Азайту: OpenAPI спецификациясы, mock-сервер</t>
  </si>
  <si>
    <t>Интеграция кезінде 3 және одан көп эндпоинт спецификацияға сәйкес келмесе</t>
  </si>
  <si>
    <t>24 сағат ішінде API келісу кездесуі, спецификацияны жаңарту</t>
  </si>
  <si>
    <t>5-апта</t>
  </si>
  <si>
    <t>R-05</t>
  </si>
  <si>
    <t>Тестілеуге уақыт жетпейді, тест соңында қалады</t>
  </si>
  <si>
    <t>QA</t>
  </si>
  <si>
    <t>Азайту: әр спринтте тест, CI-де автоматты іске қосу</t>
  </si>
  <si>
    <t>12-аптада тест coverage 50%-дан төмен</t>
  </si>
  <si>
    <t>13-аптада feature freeze: тек тестілеу мен қателерді түзету</t>
  </si>
  <si>
    <t>Әр спринт</t>
  </si>
  <si>
    <t>R-06</t>
  </si>
  <si>
    <t>Дүкен иесі кері байланыс бермейді</t>
  </si>
  <si>
    <t>Азайту: апталық демо, алдын ала жазылған кездесу</t>
  </si>
  <si>
    <t>Қатарынан 2 демо өткізілмесе немесе жауап 7 күннен артық келмесе</t>
  </si>
  <si>
    <t>Менторға эскалация, уақытша кассирден кері байланыс алу</t>
  </si>
  <si>
    <t>R-07</t>
  </si>
  <si>
    <t>Сессия кезінде команда қолжетімсіз болады (емтихандар)</t>
  </si>
  <si>
    <t>Қабылдау: жоспарда ескеру</t>
  </si>
  <si>
    <t>Емтихан кестесі шыққанда 2 және одан көп мүше 13–14-аптада бос емес</t>
  </si>
  <si>
    <t>Негізгі жұмысты 13-аптада бітіру, 14-аптаға тек демо мен түзетулер қалдыру</t>
  </si>
  <si>
    <t>12-апта</t>
  </si>
  <si>
    <t>R-08</t>
  </si>
  <si>
    <t>VPS бағасы өседі</t>
  </si>
  <si>
    <t>Төмен</t>
  </si>
  <si>
    <t>Қабылдау: 20% бюджет резерві</t>
  </si>
  <si>
    <t>Ай сайынғы шот 2 880 ₸-ден асса (+20%)</t>
  </si>
  <si>
    <t>Балама провайдерге көшу (ps.kz VPS)</t>
  </si>
  <si>
    <t>Әр ай</t>
  </si>
  <si>
    <t>R-09</t>
  </si>
  <si>
    <t>Домен сатып алынбайды (төлем өтпейді)</t>
  </si>
  <si>
    <t>Азайту: доменді ерте сатып алу</t>
  </si>
  <si>
    <t>20.10.2026-ға дейін домен төленбесе</t>
  </si>
  <si>
    <t>Тегін субдоменмен жұмыс істеу, доменді кейін байлау</t>
  </si>
  <si>
    <t>R-10</t>
  </si>
  <si>
    <t>gitleaks қауіпсіздік тестінде қате табады</t>
  </si>
  <si>
    <t>Азайту: .env, pre-commit hook</t>
  </si>
  <si>
    <t>CI-дегі gitleaks job қызыл болса</t>
  </si>
  <si>
    <t>PR блокталады, 24 сағат ішінде кілт алынып, ротацияланады</t>
  </si>
  <si>
    <t>Әр PR</t>
  </si>
  <si>
    <t>R-11</t>
  </si>
  <si>
    <t>Жеке деректер заңсыз сақталады (ДҚЖМ талабы)</t>
  </si>
  <si>
    <t>Өте жоғары</t>
  </si>
  <si>
    <t>Азайту: деректерді ҚР серверінде сақтау, ДҚЖМ-мен келісу</t>
  </si>
  <si>
    <t>7-аптаға дейін ДҚЖМ келісімі жоқ немесе ескерту алынса</t>
  </si>
  <si>
    <t>Клиент деректерін ҚР серверіне көшіру, келісімге дейін дербес өрістерді өшіру</t>
  </si>
  <si>
    <t>7-апта</t>
  </si>
  <si>
    <t>R-12</t>
  </si>
  <si>
    <t>Кассир жүйені қабылдамайды (интерфейс ыңғайсыз)</t>
  </si>
  <si>
    <t>Азайту: UAT, кассирді оқыту</t>
  </si>
  <si>
    <t>UAT кезінде бір сатуды рәсімдеу 60 секундтан ұзақ немесе 3 және одан көп шағым</t>
  </si>
  <si>
    <t>Интерфейсті 1 спринтте өзгерту, жылдам пернелер қосу</t>
  </si>
  <si>
    <t>R-13</t>
  </si>
  <si>
    <t>Қарыз есебі дұрыс есептелмейді</t>
  </si>
  <si>
    <t>Азайту: unit tests, Decimal арифметикасы</t>
  </si>
  <si>
    <t>Қарыз бойынша бір unit test құласа немесе қолмен есеппен айырма болса</t>
  </si>
  <si>
    <t>Логиканы 3 жұмыс күнінде қайта жазу, қолмен тексеру</t>
  </si>
  <si>
    <t>R-14</t>
  </si>
  <si>
    <t>Чек басып шығару терминалда істемейді</t>
  </si>
  <si>
    <t>Азайту: PDF формат</t>
  </si>
  <si>
    <t>10-аптаға дейін терминалда тест чегі басылмаса</t>
  </si>
  <si>
    <t>PDF-чекке ауысу</t>
  </si>
  <si>
    <t>9-апта</t>
  </si>
  <si>
    <t>R-15</t>
  </si>
  <si>
    <t>Штрих-код оқылмайды (сканер үйлесімсіз)</t>
  </si>
  <si>
    <t>Frontend</t>
  </si>
  <si>
    <t>Азайту: қолмен енгізу нұсқасы</t>
  </si>
  <si>
    <t>Тест сканерлеуде 10 тауардың 2-сі оқылмаса</t>
  </si>
  <si>
    <t>Артикул бойынша қолмен іздеу</t>
  </si>
  <si>
    <t>8-апта</t>
  </si>
  <si>
    <t>R-16</t>
  </si>
  <si>
    <t>Қалдық дабылы жалған шығады</t>
  </si>
  <si>
    <t>Азайту: шектеуді тестілеу</t>
  </si>
  <si>
    <t>UAT кезінде аптасына 3 және одан көп жалған дабыл</t>
  </si>
  <si>
    <t>Шектеуді әр тауарға жеке баптау, дабылды уақытша өшіру</t>
  </si>
  <si>
    <t>10-апта</t>
  </si>
  <si>
    <t>R-17</t>
  </si>
  <si>
    <t>Құпия сөздер мен API кілттері репозиторийге түседі</t>
  </si>
  <si>
    <t>Азайту: gitleaks, .env, .gitignore</t>
  </si>
  <si>
    <t>gitleaks репозиторийде кілт тапса</t>
  </si>
  <si>
    <t>1 сағат ішінде кілтті ротациялау, git тарихын тазалау</t>
  </si>
  <si>
    <t>Әр commit</t>
  </si>
  <si>
    <t>R-18</t>
  </si>
  <si>
    <t>CI/CD істемейді (GitHub Actions қатесі)</t>
  </si>
  <si>
    <t>Азайту: қарапайым pipeline</t>
  </si>
  <si>
    <t>main тармағында CI 2 күннен артық қызыл болса</t>
  </si>
  <si>
    <t>Қолмен deploy скрипті</t>
  </si>
  <si>
    <t>R-19</t>
  </si>
  <si>
    <t>Команда мүшесі ауырып қалады</t>
  </si>
  <si>
    <t>Қабылдау: құжаттама, рөлдерді дублирлеу</t>
  </si>
  <si>
    <t>Мүше қатарынан 5 жұмыс күн жоқ болса</t>
  </si>
  <si>
    <t>Рөлдерді ауыстыру, SP-ты қайта бөлу</t>
  </si>
  <si>
    <t>R-20</t>
  </si>
  <si>
    <t>Ментор кеңес бермейді</t>
  </si>
  <si>
    <t>Азайту: апталық кездесуді жоспарлау</t>
  </si>
  <si>
    <t>Қатарынан 2 апта жауап болмаса</t>
  </si>
  <si>
    <t>Кафедрадан басқа ментор сұрау</t>
  </si>
  <si>
    <t>R-21</t>
  </si>
  <si>
    <t>Дизайн өзгереді (пайдаланушы қаламайды)</t>
  </si>
  <si>
    <t>Азайту: ерте демо, UI-kit</t>
  </si>
  <si>
    <t>2 спринт қатарынан дизайнды өзгерту сұрауы келсе</t>
  </si>
  <si>
    <t>Өзгерісті келесі спринтке жоспарлау, тек бір компонентті өзгерту</t>
  </si>
  <si>
    <t>R-22</t>
  </si>
  <si>
    <t>Жоба қайта басталады (талаптар түсініксіз)</t>
  </si>
  <si>
    <t>Азайту: талаптарды нақтылау, апталық демо</t>
  </si>
  <si>
    <t>3-аптаға дейін 18 тарихшаның 3-тен көбі өзгерсе немесе иесі бекітпесе</t>
  </si>
  <si>
    <t>3 жұмыс күнінде қайта жоспарлау, бэклогты қайта басымдау</t>
  </si>
  <si>
    <t>3-апта</t>
  </si>
  <si>
    <t>A-01</t>
  </si>
  <si>
    <t>Болжам</t>
  </si>
  <si>
    <t>Команда 15 апта бойы толық күшпен жұмыс істейді</t>
  </si>
  <si>
    <t>Тексеру: апталық статус</t>
  </si>
  <si>
    <t>Аптасына 4 мүшенің біреуден көбі қолжетімсіз</t>
  </si>
  <si>
    <t>Жоспарды қайта қарау, көлемді қысқарту</t>
  </si>
  <si>
    <t>A-02</t>
  </si>
  <si>
    <t>Дүкен иесі аптасына 1 сағат уақыт береді</t>
  </si>
  <si>
    <t>Тексеру: кездесулерді есепке алу</t>
  </si>
  <si>
    <t>Қатарынан 2 апта 30 минуттан аз уақыт бөлінсе</t>
  </si>
  <si>
    <t>Кассирмен қосымша кездесулер</t>
  </si>
  <si>
    <t>A-03</t>
  </si>
  <si>
    <t>VPS айына 2 400 ₸ тұрады</t>
  </si>
  <si>
    <t>Тексеру: ай сайынғы шот</t>
  </si>
  <si>
    <t>Шот 2 880 ₸-ден асса</t>
  </si>
  <si>
    <t>Балама провайдерді таңдау</t>
  </si>
  <si>
    <t>I-01</t>
  </si>
  <si>
    <t>Мәселе</t>
  </si>
  <si>
    <t>GitHub-та бэклог бағасы 42 SP, бағалау дәл емес</t>
  </si>
  <si>
    <t>Шешу: planning poker арқылы қайта бағалау</t>
  </si>
  <si>
    <t>2-аптада 3 тарихшаның бағасы 50%-дан артық ауытқыса</t>
  </si>
  <si>
    <t>Бэклогты қайта бағалау, жоспарды жаңарту</t>
  </si>
  <si>
    <t>I-02</t>
  </si>
  <si>
    <t>Кассалық терминал жүйемен үйлесімсіз</t>
  </si>
  <si>
    <t>Шешу: PDF-чекке ауысу</t>
  </si>
  <si>
    <t>25.10.2026-ға дейін терминалмен байланыс орнатылмаса</t>
  </si>
  <si>
    <t>PDF-чекті негізгі формат ету</t>
  </si>
  <si>
    <t>D-01</t>
  </si>
  <si>
    <t>Тәуелділік</t>
  </si>
  <si>
    <t>Hetzner VPS (хостинг)</t>
  </si>
  <si>
    <t>Бақылау: 15.10.2026-ға дейін ашу</t>
  </si>
  <si>
    <t>15.10.2026-ға дейін VPS ашылмаса</t>
  </si>
  <si>
    <t>Уақытша бұлттық тегін хостингте жұмыс істеу</t>
  </si>
  <si>
    <t>D-02</t>
  </si>
  <si>
    <t>ps.kz домені</t>
  </si>
  <si>
    <t>Бақылау: 20.10.2026-ға дейін төлеу</t>
  </si>
  <si>
    <t>20.10.2026-ға дейін төлем өтпесе</t>
  </si>
  <si>
    <t>Тегін субдомен</t>
  </si>
  <si>
    <t>D-03</t>
  </si>
  <si>
    <t>Дүкен иесінің кері байланысы</t>
  </si>
  <si>
    <t>Бақылау: 05.11.2026-ға дейін алғашқы демо</t>
  </si>
  <si>
    <t>05.11.2026-ға дейін кері байланыс алынбаса</t>
  </si>
  <si>
    <t>Кассирден кері байланыс алу, менторға хабарлау</t>
  </si>
  <si>
    <t>6-апта</t>
  </si>
  <si>
    <t>D-04</t>
  </si>
  <si>
    <t>Ментор кеңесі</t>
  </si>
  <si>
    <t>Бақылау: апталық кездесу</t>
  </si>
  <si>
    <t>Қатарынан 2 кездесу өтпесе</t>
  </si>
  <si>
    <t>Басқа ментор сұрау</t>
  </si>
  <si>
    <t>D-05</t>
  </si>
  <si>
    <t>Кассалық терминал (чек шығаруға)</t>
  </si>
  <si>
    <t>Бақылау: 25.10.2026-ға дейін қолжетімділік</t>
  </si>
  <si>
    <t>25.10.2026-ға дейін терминал берілмесе</t>
  </si>
  <si>
    <t>PDF-чекпен жұмыс істеу</t>
  </si>
  <si>
    <t>Баға белгілері: 🔴 — жоғары, 🟡 — орташа, 🟢 — төмен тәуекел.</t>
  </si>
  <si>
    <t>Баға автоматты есептеледі: Ықтималдық (1–3) × Ықпал (1–4). 🔴: ≥ 8, немесе ықпал «Өте жоғары» және көбейтінді ≥ 4; 🟡: ≥ 4; 🟢: қалғаны.</t>
  </si>
  <si>
    <t>Болжам (A), мәселе (I) және тәуелділік (D) жолдарында «Ықтималдық» — болжамның бұзылу немесе тәуелділіктің кешігу ықтималдығы.</t>
  </si>
  <si>
    <t>Иелері рөл бойынша көрсетілген (PM, Backend, Frontend, QA): өз тобыңыздағы нақты адамдардың аты-жөнімен ауыстырыңыз.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</si>
</sst>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5C7080"/>
      <name val="Times New Roman"/>
      <family val="1"/>
      <charset val="204"/>
    </font>
    <font>
      <b/>
      <sz val="10"/>
      <color rgb="FFFFFFFF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9"/>
      <color rgb="FF5C708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159FE0"/>
        <bgColor rgb="FF33CCCC"/>
      </patternFill>
    </fill>
    <fill>
      <patternFill patternType="solid">
        <fgColor rgb="FFF2F9FE"/>
        <bgColor rgb="FFFFFFFF"/>
      </patternFill>
    </fill>
  </fills>
  <borders count="2">
    <border>
      <left/>
      <right/>
      <top/>
      <bottom/>
      <diagonal/>
    </border>
    <border>
      <left style="thin">
        <color rgb="FFAAD1E9"/>
      </left>
      <right style="thin">
        <color rgb="FFAAD1E9"/>
      </right>
      <top style="thin">
        <color rgb="FFAAD1E9"/>
      </top>
      <bottom style="thin">
        <color rgb="FFAAD1E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8" fillId="0" borderId="0" xfId="0" applyFont="1"/>
  </cellXfs>
  <cellStyles count="1">
    <cellStyle name="Обычный" xfId="0" builtinId="0"/>
  </cellStyles>
  <dxfs count="30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5F5E3"/>
        </patternFill>
      </fill>
    </dxf>
    <dxf>
      <fill>
        <patternFill>
          <bgColor rgb="FFFCF3CF"/>
        </patternFill>
      </fill>
    </dxf>
    <dxf>
      <fill>
        <patternFill>
          <bgColor rgb="FFFADBD8"/>
        </patternFill>
      </fill>
    </dxf>
    <dxf>
      <fill>
        <patternFill>
          <bgColor rgb="FF00B050"/>
        </patternFill>
      </fill>
    </dxf>
    <dxf>
      <fill>
        <patternFill>
          <bgColor rgb="FFFADBD8"/>
        </patternFill>
      </fill>
    </dxf>
    <dxf>
      <fill>
        <patternFill>
          <bgColor rgb="FFFCF3CF"/>
        </patternFill>
      </fill>
    </dxf>
    <dxf>
      <fill>
        <patternFill>
          <bgColor rgb="FFD5F5E3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5F5E3"/>
        </patternFill>
      </fill>
    </dxf>
    <dxf>
      <fill>
        <patternFill>
          <bgColor rgb="FFFCF3CF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FCF3CF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FCF3CF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FCF3CF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FCF3CF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FCF3CF"/>
        </patternFill>
      </fill>
    </dxf>
    <dxf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3CF"/>
      <rgbColor rgb="FFF2F9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159FE0"/>
      <rgbColor rgb="FFCCFFFF"/>
      <rgbColor rgb="FFD5F5E3"/>
      <rgbColor rgb="FFFFFF99"/>
      <rgbColor rgb="FFAAD1E9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C70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abSelected="1" zoomScaleNormal="100" workbookViewId="0">
      <pane xSplit="3" ySplit="4" topLeftCell="F5" activePane="bottomRight" state="frozen"/>
      <selection pane="topRight" activeCell="D1" sqref="D1"/>
      <selection pane="bottomLeft" activeCell="A5" sqref="A5"/>
      <selection pane="bottomRight" activeCell="H2" sqref="H2"/>
    </sheetView>
  </sheetViews>
  <sheetFormatPr defaultColWidth="8.6328125" defaultRowHeight="14" x14ac:dyDescent="0.3"/>
  <cols>
    <col min="1" max="1" width="8" style="2" customWidth="1"/>
    <col min="2" max="2" width="13" style="2" customWidth="1"/>
    <col min="3" max="3" width="38" style="2" customWidth="1"/>
    <col min="4" max="5" width="13" style="2" customWidth="1"/>
    <col min="6" max="6" width="9" style="2" customWidth="1"/>
    <col min="7" max="7" width="11" style="2" customWidth="1"/>
    <col min="8" max="8" width="34" style="2" customWidth="1"/>
    <col min="9" max="9" width="40" style="2" customWidth="1"/>
    <col min="10" max="10" width="42" style="2" customWidth="1"/>
    <col min="11" max="11" width="17" style="2" customWidth="1"/>
    <col min="12" max="16384" width="8.6328125" style="2"/>
  </cols>
  <sheetData>
    <row r="1" spans="1:11" ht="17.5" x14ac:dyDescent="0.35">
      <c r="A1" s="1" t="s">
        <v>0</v>
      </c>
    </row>
    <row r="2" spans="1:11" x14ac:dyDescent="0.3">
      <c r="A2" s="3" t="s">
        <v>1</v>
      </c>
    </row>
    <row r="4" spans="1:11" ht="30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1" ht="26" x14ac:dyDescent="0.3">
      <c r="A5" s="5" t="s">
        <v>13</v>
      </c>
      <c r="B5" s="6" t="s">
        <v>14</v>
      </c>
      <c r="C5" s="7" t="s">
        <v>15</v>
      </c>
      <c r="D5" s="6" t="s">
        <v>16</v>
      </c>
      <c r="E5" s="6" t="s">
        <v>16</v>
      </c>
      <c r="F5" s="8" t="str">
        <f>IF(OR(MATCH(D5,{"Төмен","Орташа","Жоғары"},0)*MATCH(E5,{"Төмен","Орташа","Жоғары","Өте жоғары"},0)&gt;=8,AND(MATCH(E5,{"Төмен","Орташа","Жоғары","Өте жоғары"},0)=4,MATCH(D5,{"Төмен","Орташа","Жоғары"},0)*MATCH(E5,{"Төмен","Орташа","Жоғары","Өте жоғары"},0)&gt;=4)),"Қызыл",IF(MATCH(D5,{"Төмен","Орташа","Жоғары"},0)*MATCH(E5,{"Төмен","Орташа","Жоғары","Өте жоғары"},0)&gt;=4,"Сары","Жасыл"))</f>
        <v>Қызыл</v>
      </c>
      <c r="G5" s="6" t="s">
        <v>17</v>
      </c>
      <c r="H5" s="7" t="s">
        <v>18</v>
      </c>
      <c r="I5" s="7" t="s">
        <v>19</v>
      </c>
      <c r="J5" s="7" t="s">
        <v>20</v>
      </c>
      <c r="K5" s="6" t="s">
        <v>21</v>
      </c>
    </row>
    <row r="6" spans="1:11" ht="26" x14ac:dyDescent="0.3">
      <c r="A6" s="9" t="s">
        <v>22</v>
      </c>
      <c r="B6" s="10" t="s">
        <v>14</v>
      </c>
      <c r="C6" s="11" t="s">
        <v>23</v>
      </c>
      <c r="D6" s="10" t="s">
        <v>16</v>
      </c>
      <c r="E6" s="10" t="s">
        <v>24</v>
      </c>
      <c r="F6" s="8" t="str">
        <f>IF(OR(MATCH(D6,{"Төмен","Орташа","Жоғары"},0)*MATCH(E6,{"Төмен","Орташа","Жоғары","Өте жоғары"},0)&gt;=8,AND(MATCH(E6,{"Төмен","Орташа","Жоғары","Өте жоғары"},0)=4,MATCH(D6,{"Төмен","Орташа","Жоғары"},0)*MATCH(E6,{"Төмен","Орташа","Жоғары","Өте жоғары"},0)&gt;=4)),"Қызыл",IF(MATCH(D6,{"Төмен","Орташа","Жоғары"},0)*MATCH(E6,{"Төмен","Орташа","Жоғары","Өте жоғары"},0)&gt;=4,"Сары","Жасыл"))</f>
        <v>Сары</v>
      </c>
      <c r="G6" s="10" t="s">
        <v>17</v>
      </c>
      <c r="H6" s="11" t="s">
        <v>25</v>
      </c>
      <c r="I6" s="11" t="s">
        <v>26</v>
      </c>
      <c r="J6" s="11" t="s">
        <v>27</v>
      </c>
      <c r="K6" s="10" t="s">
        <v>28</v>
      </c>
    </row>
    <row r="7" spans="1:11" ht="26" x14ac:dyDescent="0.3">
      <c r="A7" s="5" t="s">
        <v>29</v>
      </c>
      <c r="B7" s="6" t="s">
        <v>14</v>
      </c>
      <c r="C7" s="7" t="s">
        <v>30</v>
      </c>
      <c r="D7" s="6" t="s">
        <v>24</v>
      </c>
      <c r="E7" s="6" t="s">
        <v>16</v>
      </c>
      <c r="F7" s="8" t="str">
        <f>IF(OR(MATCH(D7,{"Төмен","Орташа","Жоғары"},0)*MATCH(E7,{"Төмен","Орташа","Жоғары","Өте жоғары"},0)&gt;=8,AND(MATCH(E7,{"Төмен","Орташа","Жоғары","Өте жоғары"},0)=4,MATCH(D7,{"Төмен","Орташа","Жоғары"},0)*MATCH(E7,{"Төмен","Орташа","Жоғары","Өте жоғары"},0)&gt;=4)),"Қызыл",IF(MATCH(D7,{"Төмен","Орташа","Жоғары"},0)*MATCH(E7,{"Төмен","Орташа","Жоғары","Өте жоғары"},0)&gt;=4,"Сары","Жасыл"))</f>
        <v>Сары</v>
      </c>
      <c r="G7" s="6" t="s">
        <v>31</v>
      </c>
      <c r="H7" s="7" t="s">
        <v>32</v>
      </c>
      <c r="I7" s="7" t="s">
        <v>33</v>
      </c>
      <c r="J7" s="7" t="s">
        <v>34</v>
      </c>
      <c r="K7" s="6" t="s">
        <v>35</v>
      </c>
    </row>
    <row r="8" spans="1:11" ht="26" x14ac:dyDescent="0.3">
      <c r="A8" s="9" t="s">
        <v>36</v>
      </c>
      <c r="B8" s="10" t="s">
        <v>14</v>
      </c>
      <c r="C8" s="11" t="s">
        <v>37</v>
      </c>
      <c r="D8" s="10" t="s">
        <v>24</v>
      </c>
      <c r="E8" s="10" t="s">
        <v>16</v>
      </c>
      <c r="F8" s="8" t="str">
        <f>IF(OR(MATCH(D8,{"Төмен","Орташа","Жоғары"},0)*MATCH(E8,{"Төмен","Орташа","Жоғары","Өте жоғары"},0)&gt;=8,AND(MATCH(E8,{"Төмен","Орташа","Жоғары","Өте жоғары"},0)=4,MATCH(D8,{"Төмен","Орташа","Жоғары"},0)*MATCH(E8,{"Төмен","Орташа","Жоғары","Өте жоғары"},0)&gt;=4)),"Қызыл",IF(MATCH(D8,{"Төмен","Орташа","Жоғары"},0)*MATCH(E8,{"Төмен","Орташа","Жоғары","Өте жоғары"},0)&gt;=4,"Сары","Жасыл"))</f>
        <v>Сары</v>
      </c>
      <c r="G8" s="10" t="s">
        <v>31</v>
      </c>
      <c r="H8" s="11" t="s">
        <v>38</v>
      </c>
      <c r="I8" s="11" t="s">
        <v>39</v>
      </c>
      <c r="J8" s="11" t="s">
        <v>40</v>
      </c>
      <c r="K8" s="10" t="s">
        <v>41</v>
      </c>
    </row>
    <row r="9" spans="1:11" ht="26" x14ac:dyDescent="0.3">
      <c r="A9" s="5" t="s">
        <v>42</v>
      </c>
      <c r="B9" s="6" t="s">
        <v>14</v>
      </c>
      <c r="C9" s="7" t="s">
        <v>43</v>
      </c>
      <c r="D9" s="6" t="s">
        <v>16</v>
      </c>
      <c r="E9" s="6" t="s">
        <v>16</v>
      </c>
      <c r="F9" s="8" t="str">
        <f>IF(OR(MATCH(D9,{"Төмен","Орташа","Жоғары"},0)*MATCH(E9,{"Төмен","Орташа","Жоғары","Өте жоғары"},0)&gt;=8,AND(MATCH(E9,{"Төмен","Орташа","Жоғары","Өте жоғары"},0)=4,MATCH(D9,{"Төмен","Орташа","Жоғары"},0)*MATCH(E9,{"Төмен","Орташа","Жоғары","Өте жоғары"},0)&gt;=4)),"Қызыл",IF(MATCH(D9,{"Төмен","Орташа","Жоғары"},0)*MATCH(E9,{"Төмен","Орташа","Жоғары","Өте жоғары"},0)&gt;=4,"Сары","Жасыл"))</f>
        <v>Қызыл</v>
      </c>
      <c r="G9" s="6" t="s">
        <v>44</v>
      </c>
      <c r="H9" s="7" t="s">
        <v>45</v>
      </c>
      <c r="I9" s="7" t="s">
        <v>46</v>
      </c>
      <c r="J9" s="7" t="s">
        <v>47</v>
      </c>
      <c r="K9" s="6" t="s">
        <v>48</v>
      </c>
    </row>
    <row r="10" spans="1:11" ht="26" x14ac:dyDescent="0.3">
      <c r="A10" s="9" t="s">
        <v>49</v>
      </c>
      <c r="B10" s="10" t="s">
        <v>14</v>
      </c>
      <c r="C10" s="11" t="s">
        <v>50</v>
      </c>
      <c r="D10" s="10" t="s">
        <v>24</v>
      </c>
      <c r="E10" s="10" t="s">
        <v>16</v>
      </c>
      <c r="F10" s="8" t="str">
        <f>IF(OR(MATCH(D10,{"Төмен","Орташа","Жоғары"},0)*MATCH(E10,{"Төмен","Орташа","Жоғары","Өте жоғары"},0)&gt;=8,AND(MATCH(E10,{"Төмен","Орташа","Жоғары","Өте жоғары"},0)=4,MATCH(D10,{"Төмен","Орташа","Жоғары"},0)*MATCH(E10,{"Төмен","Орташа","Жоғары","Өте жоғары"},0)&gt;=4)),"Қызыл",IF(MATCH(D10,{"Төмен","Орташа","Жоғары"},0)*MATCH(E10,{"Төмен","Орташа","Жоғары","Өте жоғары"},0)&gt;=4,"Сары","Жасыл"))</f>
        <v>Сары</v>
      </c>
      <c r="G10" s="10" t="s">
        <v>17</v>
      </c>
      <c r="H10" s="11" t="s">
        <v>51</v>
      </c>
      <c r="I10" s="11" t="s">
        <v>52</v>
      </c>
      <c r="J10" s="11" t="s">
        <v>53</v>
      </c>
      <c r="K10" s="10" t="s">
        <v>21</v>
      </c>
    </row>
    <row r="11" spans="1:11" ht="26" x14ac:dyDescent="0.3">
      <c r="A11" s="5" t="s">
        <v>54</v>
      </c>
      <c r="B11" s="6" t="s">
        <v>14</v>
      </c>
      <c r="C11" s="7" t="s">
        <v>55</v>
      </c>
      <c r="D11" s="6" t="s">
        <v>16</v>
      </c>
      <c r="E11" s="6" t="s">
        <v>24</v>
      </c>
      <c r="F11" s="8" t="str">
        <f>IF(OR(MATCH(D11,{"Төмен","Орташа","Жоғары"},0)*MATCH(E11,{"Төмен","Орташа","Жоғары","Өте жоғары"},0)&gt;=8,AND(MATCH(E11,{"Төмен","Орташа","Жоғары","Өте жоғары"},0)=4,MATCH(D11,{"Төмен","Орташа","Жоғары"},0)*MATCH(E11,{"Төмен","Орташа","Жоғары","Өте жоғары"},0)&gt;=4)),"Қызыл",IF(MATCH(D11,{"Төмен","Орташа","Жоғары"},0)*MATCH(E11,{"Төмен","Орташа","Жоғары","Өте жоғары"},0)&gt;=4,"Сары","Жасыл"))</f>
        <v>Сары</v>
      </c>
      <c r="G11" s="6" t="s">
        <v>17</v>
      </c>
      <c r="H11" s="7" t="s">
        <v>56</v>
      </c>
      <c r="I11" s="7" t="s">
        <v>57</v>
      </c>
      <c r="J11" s="7" t="s">
        <v>58</v>
      </c>
      <c r="K11" s="6" t="s">
        <v>59</v>
      </c>
    </row>
    <row r="12" spans="1:11" ht="15.5" x14ac:dyDescent="0.3">
      <c r="A12" s="9" t="s">
        <v>60</v>
      </c>
      <c r="B12" s="10" t="s">
        <v>14</v>
      </c>
      <c r="C12" s="11" t="s">
        <v>61</v>
      </c>
      <c r="D12" s="10" t="s">
        <v>62</v>
      </c>
      <c r="E12" s="10" t="s">
        <v>24</v>
      </c>
      <c r="F12" s="8" t="str">
        <f>IF(OR(MATCH(D12,{"Төмен","Орташа","Жоғары"},0)*MATCH(E12,{"Төмен","Орташа","Жоғары","Өте жоғары"},0)&gt;=8,AND(MATCH(E12,{"Төмен","Орташа","Жоғары","Өте жоғары"},0)=4,MATCH(D12,{"Төмен","Орташа","Жоғары"},0)*MATCH(E12,{"Төмен","Орташа","Жоғары","Өте жоғары"},0)&gt;=4)),"Қызыл",IF(MATCH(D12,{"Төмен","Орташа","Жоғары"},0)*MATCH(E12,{"Төмен","Орташа","Жоғары","Өте жоғары"},0)&gt;=4,"Сары","Жасыл"))</f>
        <v>Жасыл</v>
      </c>
      <c r="G12" s="10" t="s">
        <v>17</v>
      </c>
      <c r="H12" s="11" t="s">
        <v>63</v>
      </c>
      <c r="I12" s="11" t="s">
        <v>64</v>
      </c>
      <c r="J12" s="11" t="s">
        <v>65</v>
      </c>
      <c r="K12" s="10" t="s">
        <v>66</v>
      </c>
    </row>
    <row r="13" spans="1:11" ht="26" x14ac:dyDescent="0.3">
      <c r="A13" s="5" t="s">
        <v>67</v>
      </c>
      <c r="B13" s="6" t="s">
        <v>14</v>
      </c>
      <c r="C13" s="7" t="s">
        <v>68</v>
      </c>
      <c r="D13" s="6" t="s">
        <v>62</v>
      </c>
      <c r="E13" s="6" t="s">
        <v>16</v>
      </c>
      <c r="F13" s="8" t="str">
        <f>IF(OR(MATCH(D13,{"Төмен","Орташа","Жоғары"},0)*MATCH(E13,{"Төмен","Орташа","Жоғары","Өте жоғары"},0)&gt;=8,AND(MATCH(E13,{"Төмен","Орташа","Жоғары","Өте жоғары"},0)=4,MATCH(D13,{"Төмен","Орташа","Жоғары"},0)*MATCH(E13,{"Төмен","Орташа","Жоғары","Өте жоғары"},0)&gt;=4)),"Қызыл",IF(MATCH(D13,{"Төмен","Орташа","Жоғары"},0)*MATCH(E13,{"Төмен","Орташа","Жоғары","Өте жоғары"},0)&gt;=4,"Сары","Жасыл"))</f>
        <v>Жасыл</v>
      </c>
      <c r="G13" s="6" t="s">
        <v>17</v>
      </c>
      <c r="H13" s="7" t="s">
        <v>69</v>
      </c>
      <c r="I13" s="7" t="s">
        <v>70</v>
      </c>
      <c r="J13" s="7" t="s">
        <v>71</v>
      </c>
      <c r="K13" s="6" t="s">
        <v>35</v>
      </c>
    </row>
    <row r="14" spans="1:11" ht="26" x14ac:dyDescent="0.3">
      <c r="A14" s="9" t="s">
        <v>72</v>
      </c>
      <c r="B14" s="10" t="s">
        <v>14</v>
      </c>
      <c r="C14" s="11" t="s">
        <v>73</v>
      </c>
      <c r="D14" s="10" t="s">
        <v>24</v>
      </c>
      <c r="E14" s="10" t="s">
        <v>16</v>
      </c>
      <c r="F14" s="8" t="str">
        <f>IF(OR(MATCH(D14,{"Төмен","Орташа","Жоғары"},0)*MATCH(E14,{"Төмен","Орташа","Жоғары","Өте жоғары"},0)&gt;=8,AND(MATCH(E14,{"Төмен","Орташа","Жоғары","Өте жоғары"},0)=4,MATCH(D14,{"Төмен","Орташа","Жоғары"},0)*MATCH(E14,{"Төмен","Орташа","Жоғары","Өте жоғары"},0)&gt;=4)),"Қызыл",IF(MATCH(D14,{"Төмен","Орташа","Жоғары"},0)*MATCH(E14,{"Төмен","Орташа","Жоғары","Өте жоғары"},0)&gt;=4,"Сары","Жасыл"))</f>
        <v>Сары</v>
      </c>
      <c r="G14" s="10" t="s">
        <v>31</v>
      </c>
      <c r="H14" s="11" t="s">
        <v>74</v>
      </c>
      <c r="I14" s="11" t="s">
        <v>75</v>
      </c>
      <c r="J14" s="11" t="s">
        <v>76</v>
      </c>
      <c r="K14" s="10" t="s">
        <v>77</v>
      </c>
    </row>
    <row r="15" spans="1:11" ht="26" x14ac:dyDescent="0.3">
      <c r="A15" s="5" t="s">
        <v>78</v>
      </c>
      <c r="B15" s="6" t="s">
        <v>14</v>
      </c>
      <c r="C15" s="7" t="s">
        <v>79</v>
      </c>
      <c r="D15" s="6" t="s">
        <v>24</v>
      </c>
      <c r="E15" s="6" t="s">
        <v>80</v>
      </c>
      <c r="F15" s="8" t="str">
        <f>IF(OR(MATCH(D15,{"Төмен","Орташа","Жоғары"},0)*MATCH(E15,{"Төмен","Орташа","Жоғары","Өте жоғары"},0)&gt;=8,AND(MATCH(E15,{"Төмен","Орташа","Жоғары","Өте жоғары"},0)=4,MATCH(D15,{"Төмен","Орташа","Жоғары"},0)*MATCH(E15,{"Төмен","Орташа","Жоғары","Өте жоғары"},0)&gt;=4)),"Қызыл",IF(MATCH(D15,{"Төмен","Орташа","Жоғары"},0)*MATCH(E15,{"Төмен","Орташа","Жоғары","Өте жоғары"},0)&gt;=4,"Сары","Жасыл"))</f>
        <v>Қызыл</v>
      </c>
      <c r="G15" s="6" t="s">
        <v>17</v>
      </c>
      <c r="H15" s="7" t="s">
        <v>81</v>
      </c>
      <c r="I15" s="7" t="s">
        <v>82</v>
      </c>
      <c r="J15" s="7" t="s">
        <v>83</v>
      </c>
      <c r="K15" s="6" t="s">
        <v>84</v>
      </c>
    </row>
    <row r="16" spans="1:11" ht="26" x14ac:dyDescent="0.3">
      <c r="A16" s="9" t="s">
        <v>85</v>
      </c>
      <c r="B16" s="10" t="s">
        <v>14</v>
      </c>
      <c r="C16" s="11" t="s">
        <v>86</v>
      </c>
      <c r="D16" s="10" t="s">
        <v>24</v>
      </c>
      <c r="E16" s="10" t="s">
        <v>16</v>
      </c>
      <c r="F16" s="8" t="str">
        <f>IF(OR(MATCH(D16,{"Төмен","Орташа","Жоғары"},0)*MATCH(E16,{"Төмен","Орташа","Жоғары","Өте жоғары"},0)&gt;=8,AND(MATCH(E16,{"Төмен","Орташа","Жоғары","Өте жоғары"},0)=4,MATCH(D16,{"Төмен","Орташа","Жоғары"},0)*MATCH(E16,{"Төмен","Орташа","Жоғары","Өте жоғары"},0)&gt;=4)),"Қызыл",IF(MATCH(D16,{"Төмен","Орташа","Жоғары"},0)*MATCH(E16,{"Төмен","Орташа","Жоғары","Өте жоғары"},0)&gt;=4,"Сары","Жасыл"))</f>
        <v>Сары</v>
      </c>
      <c r="G16" s="10" t="s">
        <v>44</v>
      </c>
      <c r="H16" s="11" t="s">
        <v>87</v>
      </c>
      <c r="I16" s="11" t="s">
        <v>88</v>
      </c>
      <c r="J16" s="11" t="s">
        <v>89</v>
      </c>
      <c r="K16" s="10" t="s">
        <v>59</v>
      </c>
    </row>
    <row r="17" spans="1:11" ht="26" x14ac:dyDescent="0.3">
      <c r="A17" s="5" t="s">
        <v>90</v>
      </c>
      <c r="B17" s="6" t="s">
        <v>14</v>
      </c>
      <c r="C17" s="7" t="s">
        <v>91</v>
      </c>
      <c r="D17" s="6" t="s">
        <v>24</v>
      </c>
      <c r="E17" s="6" t="s">
        <v>16</v>
      </c>
      <c r="F17" s="8" t="str">
        <f>IF(OR(MATCH(D17,{"Төмен","Орташа","Жоғары"},0)*MATCH(E17,{"Төмен","Орташа","Жоғары","Өте жоғары"},0)&gt;=8,AND(MATCH(E17,{"Төмен","Орташа","Жоғары","Өте жоғары"},0)=4,MATCH(D17,{"Төмен","Орташа","Жоғары"},0)*MATCH(E17,{"Төмен","Орташа","Жоғары","Өте жоғары"},0)&gt;=4)),"Қызыл",IF(MATCH(D17,{"Төмен","Орташа","Жоғары"},0)*MATCH(E17,{"Төмен","Орташа","Жоғары","Өте жоғары"},0)&gt;=4,"Сары","Жасыл"))</f>
        <v>Сары</v>
      </c>
      <c r="G17" s="6" t="s">
        <v>31</v>
      </c>
      <c r="H17" s="7" t="s">
        <v>92</v>
      </c>
      <c r="I17" s="7" t="s">
        <v>93</v>
      </c>
      <c r="J17" s="7" t="s">
        <v>94</v>
      </c>
      <c r="K17" s="6" t="s">
        <v>48</v>
      </c>
    </row>
    <row r="18" spans="1:11" ht="15.5" x14ac:dyDescent="0.3">
      <c r="A18" s="9" t="s">
        <v>95</v>
      </c>
      <c r="B18" s="10" t="s">
        <v>14</v>
      </c>
      <c r="C18" s="11" t="s">
        <v>96</v>
      </c>
      <c r="D18" s="10" t="s">
        <v>24</v>
      </c>
      <c r="E18" s="10" t="s">
        <v>24</v>
      </c>
      <c r="F18" s="8" t="str">
        <f>IF(OR(MATCH(D18,{"Төмен","Орташа","Жоғары"},0)*MATCH(E18,{"Төмен","Орташа","Жоғары","Өте жоғары"},0)&gt;=8,AND(MATCH(E18,{"Төмен","Орташа","Жоғары","Өте жоғары"},0)=4,MATCH(D18,{"Төмен","Орташа","Жоғары"},0)*MATCH(E18,{"Төмен","Орташа","Жоғары","Өте жоғары"},0)&gt;=4)),"Қызыл",IF(MATCH(D18,{"Төмен","Орташа","Жоғары"},0)*MATCH(E18,{"Төмен","Орташа","Жоғары","Өте жоғары"},0)&gt;=4,"Сары","Жасыл"))</f>
        <v>Сары</v>
      </c>
      <c r="G18" s="10" t="s">
        <v>31</v>
      </c>
      <c r="H18" s="11" t="s">
        <v>97</v>
      </c>
      <c r="I18" s="11" t="s">
        <v>98</v>
      </c>
      <c r="J18" s="11" t="s">
        <v>99</v>
      </c>
      <c r="K18" s="10" t="s">
        <v>100</v>
      </c>
    </row>
    <row r="19" spans="1:11" ht="15.5" x14ac:dyDescent="0.3">
      <c r="A19" s="5" t="s">
        <v>101</v>
      </c>
      <c r="B19" s="6" t="s">
        <v>14</v>
      </c>
      <c r="C19" s="7" t="s">
        <v>102</v>
      </c>
      <c r="D19" s="6" t="s">
        <v>62</v>
      </c>
      <c r="E19" s="6" t="s">
        <v>24</v>
      </c>
      <c r="F19" s="8" t="str">
        <f>IF(OR(MATCH(D19,{"Төмен","Орташа","Жоғары"},0)*MATCH(E19,{"Төмен","Орташа","Жоғары","Өте жоғары"},0)&gt;=8,AND(MATCH(E19,{"Төмен","Орташа","Жоғары","Өте жоғары"},0)=4,MATCH(D19,{"Төмен","Орташа","Жоғары"},0)*MATCH(E19,{"Төмен","Орташа","Жоғары","Өте жоғары"},0)&gt;=4)),"Қызыл",IF(MATCH(D19,{"Төмен","Орташа","Жоғары"},0)*MATCH(E19,{"Төмен","Орташа","Жоғары","Өте жоғары"},0)&gt;=4,"Сары","Жасыл"))</f>
        <v>Жасыл</v>
      </c>
      <c r="G19" s="6" t="s">
        <v>103</v>
      </c>
      <c r="H19" s="7" t="s">
        <v>104</v>
      </c>
      <c r="I19" s="7" t="s">
        <v>105</v>
      </c>
      <c r="J19" s="7" t="s">
        <v>106</v>
      </c>
      <c r="K19" s="6" t="s">
        <v>107</v>
      </c>
    </row>
    <row r="20" spans="1:11" ht="26" x14ac:dyDescent="0.3">
      <c r="A20" s="9" t="s">
        <v>108</v>
      </c>
      <c r="B20" s="10" t="s">
        <v>14</v>
      </c>
      <c r="C20" s="11" t="s">
        <v>109</v>
      </c>
      <c r="D20" s="10" t="s">
        <v>24</v>
      </c>
      <c r="E20" s="10" t="s">
        <v>24</v>
      </c>
      <c r="F20" s="8" t="str">
        <f>IF(OR(MATCH(D20,{"Төмен","Орташа","Жоғары"},0)*MATCH(E20,{"Төмен","Орташа","Жоғары","Өте жоғары"},0)&gt;=8,AND(MATCH(E20,{"Төмен","Орташа","Жоғары","Өте жоғары"},0)=4,MATCH(D20,{"Төмен","Орташа","Жоғары"},0)*MATCH(E20,{"Төмен","Орташа","Жоғары","Өте жоғары"},0)&gt;=4)),"Қызыл",IF(MATCH(D20,{"Төмен","Орташа","Жоғары"},0)*MATCH(E20,{"Төмен","Орташа","Жоғары","Өте жоғары"},0)&gt;=4,"Сары","Жасыл"))</f>
        <v>Сары</v>
      </c>
      <c r="G20" s="10" t="s">
        <v>31</v>
      </c>
      <c r="H20" s="11" t="s">
        <v>110</v>
      </c>
      <c r="I20" s="11" t="s">
        <v>111</v>
      </c>
      <c r="J20" s="11" t="s">
        <v>112</v>
      </c>
      <c r="K20" s="10" t="s">
        <v>113</v>
      </c>
    </row>
    <row r="21" spans="1:11" ht="26" x14ac:dyDescent="0.3">
      <c r="A21" s="5" t="s">
        <v>114</v>
      </c>
      <c r="B21" s="6" t="s">
        <v>14</v>
      </c>
      <c r="C21" s="7" t="s">
        <v>115</v>
      </c>
      <c r="D21" s="6" t="s">
        <v>24</v>
      </c>
      <c r="E21" s="6" t="s">
        <v>80</v>
      </c>
      <c r="F21" s="8" t="str">
        <f>IF(OR(MATCH(D21,{"Төмен","Орташа","Жоғары"},0)*MATCH(E21,{"Төмен","Орташа","Жоғары","Өте жоғары"},0)&gt;=8,AND(MATCH(E21,{"Төмен","Орташа","Жоғары","Өте жоғары"},0)=4,MATCH(D21,{"Төмен","Орташа","Жоғары"},0)*MATCH(E21,{"Төмен","Орташа","Жоғары","Өте жоғары"},0)&gt;=4)),"Қызыл",IF(MATCH(D21,{"Төмен","Орташа","Жоғары"},0)*MATCH(E21,{"Төмен","Орташа","Жоғары","Өте жоғары"},0)&gt;=4,"Сары","Жасыл"))</f>
        <v>Қызыл</v>
      </c>
      <c r="G21" s="6" t="s">
        <v>17</v>
      </c>
      <c r="H21" s="7" t="s">
        <v>116</v>
      </c>
      <c r="I21" s="7" t="s">
        <v>117</v>
      </c>
      <c r="J21" s="7" t="s">
        <v>118</v>
      </c>
      <c r="K21" s="6" t="s">
        <v>119</v>
      </c>
    </row>
    <row r="22" spans="1:11" ht="15.5" x14ac:dyDescent="0.3">
      <c r="A22" s="9" t="s">
        <v>120</v>
      </c>
      <c r="B22" s="10" t="s">
        <v>14</v>
      </c>
      <c r="C22" s="11" t="s">
        <v>121</v>
      </c>
      <c r="D22" s="10" t="s">
        <v>24</v>
      </c>
      <c r="E22" s="10" t="s">
        <v>24</v>
      </c>
      <c r="F22" s="8" t="str">
        <f>IF(OR(MATCH(D22,{"Төмен","Орташа","Жоғары"},0)*MATCH(E22,{"Төмен","Орташа","Жоғары","Өте жоғары"},0)&gt;=8,AND(MATCH(E22,{"Төмен","Орташа","Жоғары","Өте жоғары"},0)=4,MATCH(D22,{"Төмен","Орташа","Жоғары"},0)*MATCH(E22,{"Төмен","Орташа","Жоғары","Өте жоғары"},0)&gt;=4)),"Қызыл",IF(MATCH(D22,{"Төмен","Орташа","Жоғары"},0)*MATCH(E22,{"Төмен","Орташа","Жоғары","Өте жоғары"},0)&gt;=4,"Сары","Жасыл"))</f>
        <v>Сары</v>
      </c>
      <c r="G22" s="10" t="s">
        <v>31</v>
      </c>
      <c r="H22" s="11" t="s">
        <v>122</v>
      </c>
      <c r="I22" s="11" t="s">
        <v>123</v>
      </c>
      <c r="J22" s="11" t="s">
        <v>124</v>
      </c>
      <c r="K22" s="10" t="s">
        <v>100</v>
      </c>
    </row>
    <row r="23" spans="1:11" ht="26" x14ac:dyDescent="0.3">
      <c r="A23" s="5" t="s">
        <v>125</v>
      </c>
      <c r="B23" s="6" t="s">
        <v>14</v>
      </c>
      <c r="C23" s="7" t="s">
        <v>126</v>
      </c>
      <c r="D23" s="6" t="s">
        <v>62</v>
      </c>
      <c r="E23" s="6" t="s">
        <v>24</v>
      </c>
      <c r="F23" s="8" t="str">
        <f>IF(OR(MATCH(D23,{"Төмен","Орташа","Жоғары"},0)*MATCH(E23,{"Төмен","Орташа","Жоғары","Өте жоғары"},0)&gt;=8,AND(MATCH(E23,{"Төмен","Орташа","Жоғары","Өте жоғары"},0)=4,MATCH(D23,{"Төмен","Орташа","Жоғары"},0)*MATCH(E23,{"Төмен","Орташа","Жоғары","Өте жоғары"},0)&gt;=4)),"Қызыл",IF(MATCH(D23,{"Төмен","Орташа","Жоғары"},0)*MATCH(E23,{"Төмен","Орташа","Жоғары","Өте жоғары"},0)&gt;=4,"Сары","Жасыл"))</f>
        <v>Жасыл</v>
      </c>
      <c r="G23" s="6" t="s">
        <v>17</v>
      </c>
      <c r="H23" s="7" t="s">
        <v>127</v>
      </c>
      <c r="I23" s="7" t="s">
        <v>128</v>
      </c>
      <c r="J23" s="7" t="s">
        <v>129</v>
      </c>
      <c r="K23" s="6" t="s">
        <v>21</v>
      </c>
    </row>
    <row r="24" spans="1:11" ht="15.5" x14ac:dyDescent="0.3">
      <c r="A24" s="9" t="s">
        <v>130</v>
      </c>
      <c r="B24" s="10" t="s">
        <v>14</v>
      </c>
      <c r="C24" s="11" t="s">
        <v>131</v>
      </c>
      <c r="D24" s="10" t="s">
        <v>62</v>
      </c>
      <c r="E24" s="10" t="s">
        <v>24</v>
      </c>
      <c r="F24" s="8" t="str">
        <f>IF(OR(MATCH(D24,{"Төмен","Орташа","Жоғары"},0)*MATCH(E24,{"Төмен","Орташа","Жоғары","Өте жоғары"},0)&gt;=8,AND(MATCH(E24,{"Төмен","Орташа","Жоғары","Өте жоғары"},0)=4,MATCH(D24,{"Төмен","Орташа","Жоғары"},0)*MATCH(E24,{"Төмен","Орташа","Жоғары","Өте жоғары"},0)&gt;=4)),"Қызыл",IF(MATCH(D24,{"Төмен","Орташа","Жоғары"},0)*MATCH(E24,{"Төмен","Орташа","Жоғары","Өте жоғары"},0)&gt;=4,"Сары","Жасыл"))</f>
        <v>Жасыл</v>
      </c>
      <c r="G24" s="10" t="s">
        <v>17</v>
      </c>
      <c r="H24" s="11" t="s">
        <v>132</v>
      </c>
      <c r="I24" s="11" t="s">
        <v>133</v>
      </c>
      <c r="J24" s="11" t="s">
        <v>134</v>
      </c>
      <c r="K24" s="10" t="s">
        <v>66</v>
      </c>
    </row>
    <row r="25" spans="1:11" ht="26" x14ac:dyDescent="0.3">
      <c r="A25" s="5" t="s">
        <v>135</v>
      </c>
      <c r="B25" s="6" t="s">
        <v>14</v>
      </c>
      <c r="C25" s="7" t="s">
        <v>136</v>
      </c>
      <c r="D25" s="6" t="s">
        <v>24</v>
      </c>
      <c r="E25" s="6" t="s">
        <v>24</v>
      </c>
      <c r="F25" s="8" t="str">
        <f>IF(OR(MATCH(D25,{"Төмен","Орташа","Жоғары"},0)*MATCH(E25,{"Төмен","Орташа","Жоғары","Өте жоғары"},0)&gt;=8,AND(MATCH(E25,{"Төмен","Орташа","Жоғары","Өте жоғары"},0)=4,MATCH(D25,{"Төмен","Орташа","Жоғары"},0)*MATCH(E25,{"Төмен","Орташа","Жоғары","Өте жоғары"},0)&gt;=4)),"Қызыл",IF(MATCH(D25,{"Төмен","Орташа","Жоғары"},0)*MATCH(E25,{"Төмен","Орташа","Жоғары","Өте жоғары"},0)&gt;=4,"Сары","Жасыл"))</f>
        <v>Сары</v>
      </c>
      <c r="G25" s="6" t="s">
        <v>103</v>
      </c>
      <c r="H25" s="7" t="s">
        <v>137</v>
      </c>
      <c r="I25" s="7" t="s">
        <v>138</v>
      </c>
      <c r="J25" s="7" t="s">
        <v>139</v>
      </c>
      <c r="K25" s="6" t="s">
        <v>48</v>
      </c>
    </row>
    <row r="26" spans="1:11" ht="26" x14ac:dyDescent="0.3">
      <c r="A26" s="9" t="s">
        <v>140</v>
      </c>
      <c r="B26" s="10" t="s">
        <v>14</v>
      </c>
      <c r="C26" s="11" t="s">
        <v>141</v>
      </c>
      <c r="D26" s="10" t="s">
        <v>62</v>
      </c>
      <c r="E26" s="10" t="s">
        <v>80</v>
      </c>
      <c r="F26" s="8" t="str">
        <f>IF(OR(MATCH(D26,{"Төмен","Орташа","Жоғары"},0)*MATCH(E26,{"Төмен","Орташа","Жоғары","Өте жоғары"},0)&gt;=8,AND(MATCH(E26,{"Төмен","Орташа","Жоғары","Өте жоғары"},0)=4,MATCH(D26,{"Төмен","Орташа","Жоғары"},0)*MATCH(E26,{"Төмен","Орташа","Жоғары","Өте жоғары"},0)&gt;=4)),"Қызыл",IF(MATCH(D26,{"Төмен","Орташа","Жоғары"},0)*MATCH(E26,{"Төмен","Орташа","Жоғары","Өте жоғары"},0)&gt;=4,"Сары","Жасыл"))</f>
        <v>Қызыл</v>
      </c>
      <c r="G26" s="10" t="s">
        <v>17</v>
      </c>
      <c r="H26" s="11" t="s">
        <v>142</v>
      </c>
      <c r="I26" s="11" t="s">
        <v>143</v>
      </c>
      <c r="J26" s="11" t="s">
        <v>144</v>
      </c>
      <c r="K26" s="10" t="s">
        <v>145</v>
      </c>
    </row>
    <row r="27" spans="1:11" ht="26" x14ac:dyDescent="0.3">
      <c r="A27" s="5" t="s">
        <v>146</v>
      </c>
      <c r="B27" s="6" t="s">
        <v>147</v>
      </c>
      <c r="C27" s="7" t="s">
        <v>148</v>
      </c>
      <c r="D27" s="6" t="s">
        <v>24</v>
      </c>
      <c r="E27" s="6" t="s">
        <v>16</v>
      </c>
      <c r="F27" s="8" t="str">
        <f>IF(OR(MATCH(D27,{"Төмен","Орташа","Жоғары"},0)*MATCH(E27,{"Төмен","Орташа","Жоғары","Өте жоғары"},0)&gt;=8,AND(MATCH(E27,{"Төмен","Орташа","Жоғары","Өте жоғары"},0)=4,MATCH(D27,{"Төмен","Орташа","Жоғары"},0)*MATCH(E27,{"Төмен","Орташа","Жоғары","Өте жоғары"},0)&gt;=4)),"Қызыл",IF(MATCH(D27,{"Төмен","Орташа","Жоғары"},0)*MATCH(E27,{"Төмен","Орташа","Жоғары","Өте жоғары"},0)&gt;=4,"Сары","Жасыл"))</f>
        <v>Сары</v>
      </c>
      <c r="G27" s="6" t="s">
        <v>17</v>
      </c>
      <c r="H27" s="7" t="s">
        <v>149</v>
      </c>
      <c r="I27" s="7" t="s">
        <v>150</v>
      </c>
      <c r="J27" s="7" t="s">
        <v>151</v>
      </c>
      <c r="K27" s="6" t="s">
        <v>21</v>
      </c>
    </row>
    <row r="28" spans="1:11" ht="15.5" x14ac:dyDescent="0.3">
      <c r="A28" s="9" t="s">
        <v>152</v>
      </c>
      <c r="B28" s="10" t="s">
        <v>147</v>
      </c>
      <c r="C28" s="11" t="s">
        <v>153</v>
      </c>
      <c r="D28" s="10" t="s">
        <v>24</v>
      </c>
      <c r="E28" s="10" t="s">
        <v>16</v>
      </c>
      <c r="F28" s="8" t="str">
        <f>IF(OR(MATCH(D28,{"Төмен","Орташа","Жоғары"},0)*MATCH(E28,{"Төмен","Орташа","Жоғары","Өте жоғары"},0)&gt;=8,AND(MATCH(E28,{"Төмен","Орташа","Жоғары","Өте жоғары"},0)=4,MATCH(D28,{"Төмен","Орташа","Жоғары"},0)*MATCH(E28,{"Төмен","Орташа","Жоғары","Өте жоғары"},0)&gt;=4)),"Қызыл",IF(MATCH(D28,{"Төмен","Орташа","Жоғары"},0)*MATCH(E28,{"Төмен","Орташа","Жоғары","Өте жоғары"},0)&gt;=4,"Сары","Жасыл"))</f>
        <v>Сары</v>
      </c>
      <c r="G28" s="10" t="s">
        <v>17</v>
      </c>
      <c r="H28" s="11" t="s">
        <v>154</v>
      </c>
      <c r="I28" s="11" t="s">
        <v>155</v>
      </c>
      <c r="J28" s="11" t="s">
        <v>156</v>
      </c>
      <c r="K28" s="10" t="s">
        <v>21</v>
      </c>
    </row>
    <row r="29" spans="1:11" ht="15.5" x14ac:dyDescent="0.3">
      <c r="A29" s="5" t="s">
        <v>157</v>
      </c>
      <c r="B29" s="6" t="s">
        <v>147</v>
      </c>
      <c r="C29" s="7" t="s">
        <v>158</v>
      </c>
      <c r="D29" s="6" t="s">
        <v>62</v>
      </c>
      <c r="E29" s="6" t="s">
        <v>24</v>
      </c>
      <c r="F29" s="8" t="str">
        <f>IF(OR(MATCH(D29,{"Төмен","Орташа","Жоғары"},0)*MATCH(E29,{"Төмен","Орташа","Жоғары","Өте жоғары"},0)&gt;=8,AND(MATCH(E29,{"Төмен","Орташа","Жоғары","Өте жоғары"},0)=4,MATCH(D29,{"Төмен","Орташа","Жоғары"},0)*MATCH(E29,{"Төмен","Орташа","Жоғары","Өте жоғары"},0)&gt;=4)),"Қызыл",IF(MATCH(D29,{"Төмен","Орташа","Жоғары"},0)*MATCH(E29,{"Төмен","Орташа","Жоғары","Өте жоғары"},0)&gt;=4,"Сары","Жасыл"))</f>
        <v>Жасыл</v>
      </c>
      <c r="G29" s="6" t="s">
        <v>17</v>
      </c>
      <c r="H29" s="7" t="s">
        <v>159</v>
      </c>
      <c r="I29" s="7" t="s">
        <v>160</v>
      </c>
      <c r="J29" s="7" t="s">
        <v>161</v>
      </c>
      <c r="K29" s="6" t="s">
        <v>66</v>
      </c>
    </row>
    <row r="30" spans="1:11" ht="26" x14ac:dyDescent="0.3">
      <c r="A30" s="9" t="s">
        <v>162</v>
      </c>
      <c r="B30" s="10" t="s">
        <v>163</v>
      </c>
      <c r="C30" s="11" t="s">
        <v>164</v>
      </c>
      <c r="D30" s="10" t="s">
        <v>16</v>
      </c>
      <c r="E30" s="10" t="s">
        <v>24</v>
      </c>
      <c r="F30" s="8" t="str">
        <f>IF(OR(MATCH(D30,{"Төмен","Орташа","Жоғары"},0)*MATCH(E30,{"Төмен","Орташа","Жоғары","Өте жоғары"},0)&gt;=8,AND(MATCH(E30,{"Төмен","Орташа","Жоғары","Өте жоғары"},0)=4,MATCH(D30,{"Төмен","Орташа","Жоғары"},0)*MATCH(E30,{"Төмен","Орташа","Жоғары","Өте жоғары"},0)&gt;=4)),"Қызыл",IF(MATCH(D30,{"Төмен","Орташа","Жоғары"},0)*MATCH(E30,{"Төмен","Орташа","Жоғары","Өте жоғары"},0)&gt;=4,"Сары","Жасыл"))</f>
        <v>Сары</v>
      </c>
      <c r="G30" s="10" t="s">
        <v>17</v>
      </c>
      <c r="H30" s="11" t="s">
        <v>165</v>
      </c>
      <c r="I30" s="11" t="s">
        <v>166</v>
      </c>
      <c r="J30" s="11" t="s">
        <v>167</v>
      </c>
      <c r="K30" s="10" t="s">
        <v>28</v>
      </c>
    </row>
    <row r="31" spans="1:11" ht="26" x14ac:dyDescent="0.3">
      <c r="A31" s="5" t="s">
        <v>168</v>
      </c>
      <c r="B31" s="6" t="s">
        <v>163</v>
      </c>
      <c r="C31" s="7" t="s">
        <v>169</v>
      </c>
      <c r="D31" s="6" t="s">
        <v>16</v>
      </c>
      <c r="E31" s="6" t="s">
        <v>24</v>
      </c>
      <c r="F31" s="8" t="str">
        <f>IF(OR(MATCH(D31,{"Төмен","Орташа","Жоғары"},0)*MATCH(E31,{"Төмен","Орташа","Жоғары","Өте жоғары"},0)&gt;=8,AND(MATCH(E31,{"Төмен","Орташа","Жоғары","Өте жоғары"},0)=4,MATCH(D31,{"Төмен","Орташа","Жоғары"},0)*MATCH(E31,{"Төмен","Орташа","Жоғары","Өте жоғары"},0)&gt;=4)),"Қызыл",IF(MATCH(D31,{"Төмен","Орташа","Жоғары"},0)*MATCH(E31,{"Төмен","Орташа","Жоғары","Өте жоғары"},0)&gt;=4,"Сары","Жасыл"))</f>
        <v>Сары</v>
      </c>
      <c r="G31" s="6" t="s">
        <v>31</v>
      </c>
      <c r="H31" s="7" t="s">
        <v>170</v>
      </c>
      <c r="I31" s="7" t="s">
        <v>171</v>
      </c>
      <c r="J31" s="7" t="s">
        <v>172</v>
      </c>
      <c r="K31" s="6" t="s">
        <v>107</v>
      </c>
    </row>
    <row r="32" spans="1:11" ht="15.5" x14ac:dyDescent="0.3">
      <c r="A32" s="9" t="s">
        <v>173</v>
      </c>
      <c r="B32" s="10" t="s">
        <v>174</v>
      </c>
      <c r="C32" s="11" t="s">
        <v>175</v>
      </c>
      <c r="D32" s="10" t="s">
        <v>62</v>
      </c>
      <c r="E32" s="10" t="s">
        <v>16</v>
      </c>
      <c r="F32" s="8" t="str">
        <f>IF(OR(MATCH(D32,{"Төмен","Орташа","Жоғары"},0)*MATCH(E32,{"Төмен","Орташа","Жоғары","Өте жоғары"},0)&gt;=8,AND(MATCH(E32,{"Төмен","Орташа","Жоғары","Өте жоғары"},0)=4,MATCH(D32,{"Төмен","Орташа","Жоғары"},0)*MATCH(E32,{"Төмен","Орташа","Жоғары","Өте жоғары"},0)&gt;=4)),"Қызыл",IF(MATCH(D32,{"Төмен","Орташа","Жоғары"},0)*MATCH(E32,{"Төмен","Орташа","Жоғары","Өте жоғары"},0)&gt;=4,"Сары","Жасыл"))</f>
        <v>Жасыл</v>
      </c>
      <c r="G32" s="10" t="s">
        <v>31</v>
      </c>
      <c r="H32" s="11" t="s">
        <v>176</v>
      </c>
      <c r="I32" s="11" t="s">
        <v>177</v>
      </c>
      <c r="J32" s="11" t="s">
        <v>178</v>
      </c>
      <c r="K32" s="10" t="s">
        <v>35</v>
      </c>
    </row>
    <row r="33" spans="1:11" ht="15.5" x14ac:dyDescent="0.3">
      <c r="A33" s="5" t="s">
        <v>179</v>
      </c>
      <c r="B33" s="6" t="s">
        <v>174</v>
      </c>
      <c r="C33" s="7" t="s">
        <v>180</v>
      </c>
      <c r="D33" s="6" t="s">
        <v>62</v>
      </c>
      <c r="E33" s="6" t="s">
        <v>16</v>
      </c>
      <c r="F33" s="8" t="str">
        <f>IF(OR(MATCH(D33,{"Төмен","Орташа","Жоғары"},0)*MATCH(E33,{"Төмен","Орташа","Жоғары","Өте жоғары"},0)&gt;=8,AND(MATCH(E33,{"Төмен","Орташа","Жоғары","Өте жоғары"},0)=4,MATCH(D33,{"Төмен","Орташа","Жоғары"},0)*MATCH(E33,{"Төмен","Орташа","Жоғары","Өте жоғары"},0)&gt;=4)),"Қызыл",IF(MATCH(D33,{"Төмен","Орташа","Жоғары"},0)*MATCH(E33,{"Төмен","Орташа","Жоғары","Өте жоғары"},0)&gt;=4,"Сары","Жасыл"))</f>
        <v>Жасыл</v>
      </c>
      <c r="G33" s="6" t="s">
        <v>17</v>
      </c>
      <c r="H33" s="7" t="s">
        <v>181</v>
      </c>
      <c r="I33" s="7" t="s">
        <v>182</v>
      </c>
      <c r="J33" s="7" t="s">
        <v>183</v>
      </c>
      <c r="K33" s="6" t="s">
        <v>35</v>
      </c>
    </row>
    <row r="34" spans="1:11" ht="26" x14ac:dyDescent="0.3">
      <c r="A34" s="9" t="s">
        <v>184</v>
      </c>
      <c r="B34" s="10" t="s">
        <v>174</v>
      </c>
      <c r="C34" s="11" t="s">
        <v>185</v>
      </c>
      <c r="D34" s="10" t="s">
        <v>24</v>
      </c>
      <c r="E34" s="10" t="s">
        <v>16</v>
      </c>
      <c r="F34" s="8" t="str">
        <f>IF(OR(MATCH(D34,{"Төмен","Орташа","Жоғары"},0)*MATCH(E34,{"Төмен","Орташа","Жоғары","Өте жоғары"},0)&gt;=8,AND(MATCH(E34,{"Төмен","Орташа","Жоғары","Өте жоғары"},0)=4,MATCH(D34,{"Төмен","Орташа","Жоғары"},0)*MATCH(E34,{"Төмен","Орташа","Жоғары","Өте жоғары"},0)&gt;=4)),"Қызыл",IF(MATCH(D34,{"Төмен","Орташа","Жоғары"},0)*MATCH(E34,{"Төмен","Орташа","Жоғары","Өте жоғары"},0)&gt;=4,"Сары","Жасыл"))</f>
        <v>Сары</v>
      </c>
      <c r="G34" s="10" t="s">
        <v>17</v>
      </c>
      <c r="H34" s="11" t="s">
        <v>186</v>
      </c>
      <c r="I34" s="11" t="s">
        <v>187</v>
      </c>
      <c r="J34" s="11" t="s">
        <v>188</v>
      </c>
      <c r="K34" s="10" t="s">
        <v>189</v>
      </c>
    </row>
    <row r="35" spans="1:11" ht="15.5" x14ac:dyDescent="0.3">
      <c r="A35" s="5" t="s">
        <v>190</v>
      </c>
      <c r="B35" s="6" t="s">
        <v>174</v>
      </c>
      <c r="C35" s="7" t="s">
        <v>191</v>
      </c>
      <c r="D35" s="6" t="s">
        <v>62</v>
      </c>
      <c r="E35" s="6" t="s">
        <v>24</v>
      </c>
      <c r="F35" s="8" t="str">
        <f>IF(OR(MATCH(D35,{"Төмен","Орташа","Жоғары"},0)*MATCH(E35,{"Төмен","Орташа","Жоғары","Өте жоғары"},0)&gt;=8,AND(MATCH(E35,{"Төмен","Орташа","Жоғары","Өте жоғары"},0)=4,MATCH(D35,{"Төмен","Орташа","Жоғары"},0)*MATCH(E35,{"Төмен","Орташа","Жоғары","Өте жоғары"},0)&gt;=4)),"Қызыл",IF(MATCH(D35,{"Төмен","Орташа","Жоғары"},0)*MATCH(E35,{"Төмен","Орташа","Жоғары","Өте жоғары"},0)&gt;=4,"Сары","Жасыл"))</f>
        <v>Жасыл</v>
      </c>
      <c r="G35" s="6" t="s">
        <v>17</v>
      </c>
      <c r="H35" s="7" t="s">
        <v>192</v>
      </c>
      <c r="I35" s="7" t="s">
        <v>193</v>
      </c>
      <c r="J35" s="7" t="s">
        <v>194</v>
      </c>
      <c r="K35" s="6" t="s">
        <v>66</v>
      </c>
    </row>
    <row r="36" spans="1:11" ht="26" x14ac:dyDescent="0.3">
      <c r="A36" s="9" t="s">
        <v>195</v>
      </c>
      <c r="B36" s="10" t="s">
        <v>174</v>
      </c>
      <c r="C36" s="11" t="s">
        <v>196</v>
      </c>
      <c r="D36" s="10" t="s">
        <v>24</v>
      </c>
      <c r="E36" s="10" t="s">
        <v>24</v>
      </c>
      <c r="F36" s="8" t="str">
        <f>IF(OR(MATCH(D36,{"Төмен","Орташа","Жоғары"},0)*MATCH(E36,{"Төмен","Орташа","Жоғары","Өте жоғары"},0)&gt;=8,AND(MATCH(E36,{"Төмен","Орташа","Жоғары","Өте жоғары"},0)=4,MATCH(D36,{"Төмен","Орташа","Жоғары"},0)*MATCH(E36,{"Төмен","Орташа","Жоғары","Өте жоғары"},0)&gt;=4)),"Қызыл",IF(MATCH(D36,{"Төмен","Орташа","Жоғары"},0)*MATCH(E36,{"Төмен","Орташа","Жоғары","Өте жоғары"},0)&gt;=4,"Сары","Жасыл"))</f>
        <v>Сары</v>
      </c>
      <c r="G36" s="10" t="s">
        <v>31</v>
      </c>
      <c r="H36" s="11" t="s">
        <v>197</v>
      </c>
      <c r="I36" s="11" t="s">
        <v>198</v>
      </c>
      <c r="J36" s="11" t="s">
        <v>199</v>
      </c>
      <c r="K36" s="10" t="s">
        <v>35</v>
      </c>
    </row>
    <row r="38" spans="1:11" x14ac:dyDescent="0.3">
      <c r="A38" s="12" t="s">
        <v>200</v>
      </c>
    </row>
    <row r="39" spans="1:11" x14ac:dyDescent="0.3">
      <c r="A39" s="12" t="s">
        <v>201</v>
      </c>
    </row>
    <row r="40" spans="1:11" x14ac:dyDescent="0.3">
      <c r="A40" s="12" t="s">
        <v>202</v>
      </c>
    </row>
    <row r="41" spans="1:11" x14ac:dyDescent="0.3">
      <c r="A41" s="12" t="s">
        <v>203</v>
      </c>
    </row>
  </sheetData>
  <autoFilter ref="A4:K36"/>
  <conditionalFormatting sqref="F5:F36">
    <cfRule type="expression" dxfId="6" priority="10">
      <formula>$F5="🔴"</formula>
    </cfRule>
    <cfRule type="expression" dxfId="7" priority="11">
      <formula>$F5="🟡"</formula>
    </cfRule>
    <cfRule type="expression" dxfId="8" priority="12">
      <formula>$F5="🟢"</formula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formula" val="&quot;$F5=&quot;&quot;Қызыл&quot;&quot;&quot;"/>
        <cfvo type="formula" val="&quot;$F5=&quot;&quot;Сары&quot;&quot;&quot;"/>
        <cfvo type="formula" val="&quot;$F5=&quot;&quot;Жасыл&quot;&quot;&quot;"/>
        <color rgb="FFF8696B"/>
        <color rgb="FFFFEB84"/>
        <color rgb="FF63BE7B"/>
      </colorScale>
    </cfRule>
    <cfRule type="expression" dxfId="9" priority="3">
      <formula>$F5="Қызыл"</formula>
    </cfRule>
    <cfRule type="expression" dxfId="10" priority="2">
      <formula>$F5="Сары"</formula>
    </cfRule>
    <cfRule type="expression" dxfId="5" priority="1">
      <formula>$F5="Жасыл"</formula>
    </cfRule>
  </conditionalFormatting>
  <dataValidations count="2">
    <dataValidation type="list" sqref="D5:D36">
      <formula1>"Төмен,Орташа,Жоғары"</formula1>
      <formula2>0</formula2>
    </dataValidation>
    <dataValidation type="list" sqref="E5:E36">
      <formula1>"Төмен,Орташа,Жоғары,Өте жоғары"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RAID-журнал</vt:lpstr>
      <vt:lpstr>'RAID-журнал'!Заголовки_для_печати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2026-10-13T07:15:49Z</dcterms:created>
  <dcterms:modified xsi:type="dcterms:W3CDTF">2026-10-13T07:36:36Z</dcterms:modified>
  <dc:language>en-US</dc:language>
</cp:coreProperties>
</file>